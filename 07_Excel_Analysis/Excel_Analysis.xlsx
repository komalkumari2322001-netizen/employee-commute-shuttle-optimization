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haiya\Downloads\"/>
    </mc:Choice>
  </mc:AlternateContent>
  <xr:revisionPtr revIDLastSave="0" documentId="8_{3616BCA1-216D-4D06-892C-2616E73E730C}" xr6:coauthVersionLast="47" xr6:coauthVersionMax="47" xr10:uidLastSave="{00000000-0000-0000-0000-000000000000}"/>
  <bookViews>
    <workbookView xWindow="-108" yWindow="-108" windowWidth="23256" windowHeight="12456" activeTab="1" xr2:uid="{6BC6BCBB-4454-47F8-A94C-8203A577C162}"/>
  </bookViews>
  <sheets>
    <sheet name="Data_Validation" sheetId="1" r:id="rId1"/>
    <sheet name="KPI_Analysis" sheetId="2" r:id="rId2"/>
    <sheet name="Route_Analysis" sheetId="3" r:id="rId3"/>
    <sheet name="Vehicle_Analysis" sheetId="4" r:id="rId4"/>
    <sheet name="Business_Find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</calcChain>
</file>

<file path=xl/sharedStrings.xml><?xml version="1.0" encoding="utf-8"?>
<sst xmlns="http://schemas.openxmlformats.org/spreadsheetml/2006/main" count="252" uniqueCount="176">
  <si>
    <t>Check ID</t>
  </si>
  <si>
    <t>Data Check</t>
  </si>
  <si>
    <t>Expected Result</t>
  </si>
  <si>
    <t>Result</t>
  </si>
  <si>
    <t>Status</t>
  </si>
  <si>
    <t>DV-001</t>
  </si>
  <si>
    <t>Employee IDs are unique</t>
  </si>
  <si>
    <t>No duplicate IDs</t>
  </si>
  <si>
    <t>No duplicates</t>
  </si>
  <si>
    <t>Pass</t>
  </si>
  <si>
    <t>DV-002</t>
  </si>
  <si>
    <t>Vehicle IDs are unique</t>
  </si>
  <si>
    <t>DV-003</t>
  </si>
  <si>
    <t>Route IDs are unique</t>
  </si>
  <si>
    <t>DV-004</t>
  </si>
  <si>
    <t>Trip IDs are unique</t>
  </si>
  <si>
    <t>DV-005</t>
  </si>
  <si>
    <t>Booking IDs are unique</t>
  </si>
  <si>
    <t>DV-006</t>
  </si>
  <si>
    <t>Trip status is valid</t>
  </si>
  <si>
    <t>Completed / Cancelled</t>
  </si>
  <si>
    <t>Valid</t>
  </si>
  <si>
    <t>DV-007</t>
  </si>
  <si>
    <t>Vehicle capacity is available</t>
  </si>
  <si>
    <t>Capacity available</t>
  </si>
  <si>
    <t>Available</t>
  </si>
  <si>
    <t>DV-008</t>
  </si>
  <si>
    <t>Trip cost is available</t>
  </si>
  <si>
    <t>Cost available</t>
  </si>
  <si>
    <t>DV-009</t>
  </si>
  <si>
    <t>Cancellation reason is available</t>
  </si>
  <si>
    <t>Reason recorded</t>
  </si>
  <si>
    <t>Available where applicable</t>
  </si>
  <si>
    <t>DV-010</t>
  </si>
  <si>
    <t>Required IDs are linked</t>
  </si>
  <si>
    <t>Relationships valid</t>
  </si>
  <si>
    <t>KPI</t>
  </si>
  <si>
    <t>Calculation</t>
  </si>
  <si>
    <t>Unit</t>
  </si>
  <si>
    <t>Total Employees</t>
  </si>
  <si>
    <t>Count of employees</t>
  </si>
  <si>
    <t>Employees</t>
  </si>
  <si>
    <t>Total Vehicles</t>
  </si>
  <si>
    <t>Count of vehicles</t>
  </si>
  <si>
    <t>Vehicles</t>
  </si>
  <si>
    <t>Total Routes</t>
  </si>
  <si>
    <t>Count of routes</t>
  </si>
  <si>
    <t>Routes</t>
  </si>
  <si>
    <t>Total Trips</t>
  </si>
  <si>
    <t>Count of trips</t>
  </si>
  <si>
    <t>Trips</t>
  </si>
  <si>
    <t>Completed Trips</t>
  </si>
  <si>
    <t>Trips with Completed status</t>
  </si>
  <si>
    <t>Cancelled Trips</t>
  </si>
  <si>
    <t>Trips with Cancelled status</t>
  </si>
  <si>
    <t>Total Bookings</t>
  </si>
  <si>
    <t>Count of bookings</t>
  </si>
  <si>
    <t>Bookings</t>
  </si>
  <si>
    <t>Total Trip Cost</t>
  </si>
  <si>
    <t>Sum of trip cost</t>
  </si>
  <si>
    <t>INR</t>
  </si>
  <si>
    <t>Average Trip Cost</t>
  </si>
  <si>
    <t>Total cost / Total trips</t>
  </si>
  <si>
    <t>Cancellation Rate</t>
  </si>
  <si>
    <t>Cancelled Trips / Total Trips × 100</t>
  </si>
  <si>
    <t>%</t>
  </si>
  <si>
    <t>Average Pickup Delay</t>
  </si>
  <si>
    <t>Average actual pickup − scheduled pickup</t>
  </si>
  <si>
    <t>Calculate in Excel</t>
  </si>
  <si>
    <t>Minutes</t>
  </si>
  <si>
    <t>Average Arrival Delay</t>
  </si>
  <si>
    <t>Average actual arrival − scheduled arrival</t>
  </si>
  <si>
    <t>On-Time Performance</t>
  </si>
  <si>
    <t>On-time completed trips / completed trips × 100</t>
  </si>
  <si>
    <t>Route ID</t>
  </si>
  <si>
    <t>Route Name</t>
  </si>
  <si>
    <t>Demand Level</t>
  </si>
  <si>
    <t>Distance KM</t>
  </si>
  <si>
    <t>Avg Delay</t>
  </si>
  <si>
    <t>Cancellation</t>
  </si>
  <si>
    <t>Business Observation</t>
  </si>
  <si>
    <t>R001</t>
  </si>
  <si>
    <t>Whitefield Route</t>
  </si>
  <si>
    <t>High</t>
  </si>
  <si>
    <t>Calculate</t>
  </si>
  <si>
    <t>High demand route</t>
  </si>
  <si>
    <t>R002</t>
  </si>
  <si>
    <t>Marathahalli Route</t>
  </si>
  <si>
    <t>Monitor delays</t>
  </si>
  <si>
    <t>R003</t>
  </si>
  <si>
    <t>Electronic City Route</t>
  </si>
  <si>
    <t>High demand and long route</t>
  </si>
  <si>
    <t>R004</t>
  </si>
  <si>
    <t>HSR Route</t>
  </si>
  <si>
    <t>Medium</t>
  </si>
  <si>
    <t>Moderate demand</t>
  </si>
  <si>
    <t>R005</t>
  </si>
  <si>
    <t>Bellandur Route</t>
  </si>
  <si>
    <t>Cancellation issue</t>
  </si>
  <si>
    <t>R006</t>
  </si>
  <si>
    <t>Koramangala Route</t>
  </si>
  <si>
    <t>Moderate utilization</t>
  </si>
  <si>
    <t>R007</t>
  </si>
  <si>
    <t>BTM Route</t>
  </si>
  <si>
    <t>Low</t>
  </si>
  <si>
    <t>Low demand</t>
  </si>
  <si>
    <t>R008</t>
  </si>
  <si>
    <t>Sarjapur Route</t>
  </si>
  <si>
    <t>High-demand route</t>
  </si>
  <si>
    <t>R009</t>
  </si>
  <si>
    <t>Indiranagar Route</t>
  </si>
  <si>
    <t>Vehicle ID</t>
  </si>
  <si>
    <t>Vehicle Number</t>
  </si>
  <si>
    <t>Vehicle Type</t>
  </si>
  <si>
    <t>Vendor</t>
  </si>
  <si>
    <t>Capacity</t>
  </si>
  <si>
    <t>Utilization %</t>
  </si>
  <si>
    <t>V001</t>
  </si>
  <si>
    <t>KA01AB1001</t>
  </si>
  <si>
    <t>Mini Bus</t>
  </si>
  <si>
    <t>Whitefield Travels</t>
  </si>
  <si>
    <t>Low utilization</t>
  </si>
  <si>
    <t>V002</t>
  </si>
  <si>
    <t>KA01AB1002</t>
  </si>
  <si>
    <t>Bangalore Mobility</t>
  </si>
  <si>
    <t>V003</t>
  </si>
  <si>
    <t>KA01AB1003</t>
  </si>
  <si>
    <t>Bus</t>
  </si>
  <si>
    <t>V004</t>
  </si>
  <si>
    <t>KA01AB1004</t>
  </si>
  <si>
    <t>V005</t>
  </si>
  <si>
    <t>KA01AB1005</t>
  </si>
  <si>
    <t>CityRide</t>
  </si>
  <si>
    <t>V006</t>
  </si>
  <si>
    <t>KA01AB1006</t>
  </si>
  <si>
    <t>Finding ID</t>
  </si>
  <si>
    <t>Area</t>
  </si>
  <si>
    <t>Finding</t>
  </si>
  <si>
    <t>Business Impact</t>
  </si>
  <si>
    <t>Recommendation</t>
  </si>
  <si>
    <t>Priority</t>
  </si>
  <si>
    <t>BF-001</t>
  </si>
  <si>
    <t>Demand</t>
  </si>
  <si>
    <t>Whitefield and Electronic City have high transportation demand</t>
  </si>
  <si>
    <t>Capacity pressure may increase</t>
  </si>
  <si>
    <t>Review vehicle allocation</t>
  </si>
  <si>
    <t>BF-002</t>
  </si>
  <si>
    <t>Delay</t>
  </si>
  <si>
    <t>Traffic is a major reason for trip delays</t>
  </si>
  <si>
    <t>Employee commute reliability is affected</t>
  </si>
  <si>
    <t>Review route schedules</t>
  </si>
  <si>
    <t>BF-003</t>
  </si>
  <si>
    <t>Several vehicles have low utilization</t>
  </si>
  <si>
    <t>Unused capacity increases cost</t>
  </si>
  <si>
    <t>Consider smaller vehicles on low-demand routes</t>
  </si>
  <si>
    <t>BF-004</t>
  </si>
  <si>
    <t>Bellandur route had a vehicle breakdown cancellation</t>
  </si>
  <si>
    <t>Employee service disruption</t>
  </si>
  <si>
    <t>Strengthen backup vehicle planning</t>
  </si>
  <si>
    <t>BF-005</t>
  </si>
  <si>
    <t>Route</t>
  </si>
  <si>
    <t>Low-demand routes have fewer bookings</t>
  </si>
  <si>
    <t>Resources may be underutilized</t>
  </si>
  <si>
    <t>Review route frequency and vehicle size</t>
  </si>
  <si>
    <t>BF-006</t>
  </si>
  <si>
    <t>Cost</t>
  </si>
  <si>
    <t>Trip costs vary across routes and vendors</t>
  </si>
  <si>
    <t>Cost efficiency may differ</t>
  </si>
  <si>
    <t>Compare cost per trip and vendor performance</t>
  </si>
  <si>
    <t>BF-007</t>
  </si>
  <si>
    <t>Performance</t>
  </si>
  <si>
    <t>Delay and utilization data are not centrally monitored</t>
  </si>
  <si>
    <t>Difficult to identify problems quickly</t>
  </si>
  <si>
    <t>Use Power BI KPI dashboard</t>
  </si>
  <si>
    <r>
      <t xml:space="preserve">So </t>
    </r>
    <r>
      <rPr>
        <b/>
        <sz val="11"/>
        <color theme="1"/>
        <rFont val="Calibri"/>
        <family val="2"/>
        <scheme val="minor"/>
      </rPr>
      <t xml:space="preserve">no R001 </t>
    </r>
  </si>
  <si>
    <t>B7/B4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</si>
</sst>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914C-5DFB-4D7C-9EBB-212F2E44E33F}">
  <dimension ref="A1:E11"/>
  <sheetViews>
    <sheetView workbookViewId="0">
      <selection sqref="A1:E11"/>
    </sheetView>
  </sheetViews>
  <sheetFormatPr defaultRowHeight="14.4" x14ac:dyDescent="0.3"/>
  <cols>
    <col min="2" max="2" width="12.5546875" customWidth="1"/>
    <col min="3" max="3" width="12.777343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43.2" x14ac:dyDescent="0.3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 spans="1:5" ht="43.2" x14ac:dyDescent="0.3">
      <c r="A4" s="3" t="s">
        <v>12</v>
      </c>
      <c r="B4" s="3" t="s">
        <v>13</v>
      </c>
      <c r="C4" s="3" t="s">
        <v>7</v>
      </c>
      <c r="D4" s="3" t="s">
        <v>8</v>
      </c>
      <c r="E4" s="3" t="s">
        <v>9</v>
      </c>
    </row>
    <row r="5" spans="1:5" ht="43.2" x14ac:dyDescent="0.3">
      <c r="A5" s="3" t="s">
        <v>14</v>
      </c>
      <c r="B5" s="3" t="s">
        <v>15</v>
      </c>
      <c r="C5" s="3" t="s">
        <v>7</v>
      </c>
      <c r="D5" s="3" t="s">
        <v>8</v>
      </c>
      <c r="E5" s="3" t="s">
        <v>9</v>
      </c>
    </row>
    <row r="6" spans="1:5" ht="43.2" x14ac:dyDescent="0.3">
      <c r="A6" s="3" t="s">
        <v>16</v>
      </c>
      <c r="B6" s="3" t="s">
        <v>17</v>
      </c>
      <c r="C6" s="3" t="s">
        <v>7</v>
      </c>
      <c r="D6" s="3" t="s">
        <v>8</v>
      </c>
      <c r="E6" s="3" t="s">
        <v>9</v>
      </c>
    </row>
    <row r="7" spans="1:5" ht="43.2" x14ac:dyDescent="0.3">
      <c r="A7" s="3" t="s">
        <v>18</v>
      </c>
      <c r="B7" s="3" t="s">
        <v>19</v>
      </c>
      <c r="C7" s="3" t="s">
        <v>20</v>
      </c>
      <c r="D7" s="3" t="s">
        <v>21</v>
      </c>
      <c r="E7" s="3" t="s">
        <v>9</v>
      </c>
    </row>
    <row r="8" spans="1:5" ht="57.6" x14ac:dyDescent="0.3">
      <c r="A8" s="3" t="s">
        <v>22</v>
      </c>
      <c r="B8" s="3" t="s">
        <v>23</v>
      </c>
      <c r="C8" s="3" t="s">
        <v>24</v>
      </c>
      <c r="D8" s="3" t="s">
        <v>25</v>
      </c>
      <c r="E8" s="3" t="s">
        <v>9</v>
      </c>
    </row>
    <row r="9" spans="1:5" ht="43.2" x14ac:dyDescent="0.3">
      <c r="A9" s="3" t="s">
        <v>26</v>
      </c>
      <c r="B9" s="3" t="s">
        <v>27</v>
      </c>
      <c r="C9" s="3" t="s">
        <v>28</v>
      </c>
      <c r="D9" s="3" t="s">
        <v>25</v>
      </c>
      <c r="E9" s="3" t="s">
        <v>9</v>
      </c>
    </row>
    <row r="10" spans="1:5" ht="57.6" x14ac:dyDescent="0.3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9</v>
      </c>
    </row>
    <row r="11" spans="1:5" ht="43.2" x14ac:dyDescent="0.3">
      <c r="A11" s="3" t="s">
        <v>33</v>
      </c>
      <c r="B11" s="3" t="s">
        <v>34</v>
      </c>
      <c r="C11" s="3" t="s">
        <v>35</v>
      </c>
      <c r="D11" s="3" t="s">
        <v>21</v>
      </c>
      <c r="E11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2D25-9145-49BE-A83A-BB22F0059212}">
  <dimension ref="A1:K21"/>
  <sheetViews>
    <sheetView tabSelected="1" workbookViewId="0">
      <selection activeCell="J10" sqref="J10"/>
    </sheetView>
  </sheetViews>
  <sheetFormatPr defaultRowHeight="14.4" x14ac:dyDescent="0.3"/>
  <cols>
    <col min="1" max="1" width="13.33203125" customWidth="1"/>
    <col min="2" max="2" width="11.6640625" customWidth="1"/>
    <col min="3" max="3" width="8.5546875" bestFit="1" customWidth="1"/>
    <col min="4" max="4" width="8.33203125" bestFit="1" customWidth="1"/>
  </cols>
  <sheetData>
    <row r="1" spans="1:11" ht="28.8" x14ac:dyDescent="0.3">
      <c r="A1" s="1" t="s">
        <v>36</v>
      </c>
      <c r="B1" s="1" t="s">
        <v>37</v>
      </c>
      <c r="C1" s="2" t="s">
        <v>3</v>
      </c>
      <c r="D1" s="1" t="s">
        <v>38</v>
      </c>
    </row>
    <row r="2" spans="1:11" ht="28.8" x14ac:dyDescent="0.3">
      <c r="A2" s="3" t="s">
        <v>39</v>
      </c>
      <c r="B2" s="3" t="s">
        <v>40</v>
      </c>
      <c r="C2" s="4">
        <v>20</v>
      </c>
      <c r="D2" s="3" t="s">
        <v>41</v>
      </c>
    </row>
    <row r="3" spans="1:11" ht="28.8" x14ac:dyDescent="0.3">
      <c r="A3" s="3" t="s">
        <v>42</v>
      </c>
      <c r="B3" s="3" t="s">
        <v>43</v>
      </c>
      <c r="C3" s="4">
        <v>6</v>
      </c>
      <c r="D3" s="3" t="s">
        <v>44</v>
      </c>
      <c r="K3" s="3"/>
    </row>
    <row r="4" spans="1:11" ht="28.8" x14ac:dyDescent="0.3">
      <c r="A4" s="3" t="s">
        <v>45</v>
      </c>
      <c r="B4" s="3" t="s">
        <v>46</v>
      </c>
      <c r="C4" s="4">
        <v>9</v>
      </c>
      <c r="D4" s="3" t="s">
        <v>47</v>
      </c>
    </row>
    <row r="5" spans="1:11" ht="28.8" x14ac:dyDescent="0.3">
      <c r="A5" s="3" t="s">
        <v>48</v>
      </c>
      <c r="B5" s="3" t="s">
        <v>49</v>
      </c>
      <c r="C5" s="4">
        <v>20</v>
      </c>
      <c r="D5" s="3" t="s">
        <v>50</v>
      </c>
    </row>
    <row r="6" spans="1:11" ht="28.8" x14ac:dyDescent="0.3">
      <c r="A6" s="3" t="s">
        <v>51</v>
      </c>
      <c r="B6" s="3" t="s">
        <v>52</v>
      </c>
      <c r="C6" s="4">
        <v>19</v>
      </c>
      <c r="D6" s="3" t="s">
        <v>50</v>
      </c>
    </row>
    <row r="7" spans="1:11" ht="28.8" x14ac:dyDescent="0.3">
      <c r="A7" s="3" t="s">
        <v>53</v>
      </c>
      <c r="B7" s="3" t="s">
        <v>54</v>
      </c>
      <c r="C7" s="4">
        <v>1</v>
      </c>
      <c r="D7" s="3" t="s">
        <v>50</v>
      </c>
    </row>
    <row r="8" spans="1:11" ht="28.8" x14ac:dyDescent="0.3">
      <c r="A8" s="3" t="s">
        <v>55</v>
      </c>
      <c r="B8" s="3" t="s">
        <v>56</v>
      </c>
      <c r="C8" s="4">
        <v>35</v>
      </c>
      <c r="D8" s="3" t="s">
        <v>57</v>
      </c>
    </row>
    <row r="9" spans="1:11" ht="28.8" x14ac:dyDescent="0.3">
      <c r="A9" s="3" t="s">
        <v>58</v>
      </c>
      <c r="B9" s="3" t="s">
        <v>59</v>
      </c>
      <c r="C9" s="5">
        <v>24750</v>
      </c>
      <c r="D9" s="3" t="s">
        <v>60</v>
      </c>
    </row>
    <row r="10" spans="1:11" ht="28.8" x14ac:dyDescent="0.3">
      <c r="A10" s="3" t="s">
        <v>61</v>
      </c>
      <c r="B10" s="3" t="s">
        <v>62</v>
      </c>
      <c r="C10" s="6">
        <v>1237.5</v>
      </c>
      <c r="D10" s="3" t="s">
        <v>60</v>
      </c>
    </row>
    <row r="11" spans="1:11" ht="43.2" x14ac:dyDescent="0.3">
      <c r="A11" s="3" t="s">
        <v>63</v>
      </c>
      <c r="B11" s="3" t="s">
        <v>64</v>
      </c>
      <c r="C11" s="7">
        <v>0.05</v>
      </c>
      <c r="D11" s="3" t="s">
        <v>65</v>
      </c>
    </row>
    <row r="12" spans="1:11" ht="57.6" x14ac:dyDescent="0.3">
      <c r="A12" s="3" t="s">
        <v>66</v>
      </c>
      <c r="B12" s="3" t="s">
        <v>67</v>
      </c>
      <c r="C12" s="4" t="s">
        <v>68</v>
      </c>
      <c r="D12" s="3" t="s">
        <v>69</v>
      </c>
    </row>
    <row r="13" spans="1:11" ht="57.6" x14ac:dyDescent="0.3">
      <c r="A13" s="3" t="s">
        <v>70</v>
      </c>
      <c r="B13" s="3" t="s">
        <v>71</v>
      </c>
      <c r="C13" s="4" t="s">
        <v>68</v>
      </c>
      <c r="D13" s="3" t="s">
        <v>69</v>
      </c>
    </row>
    <row r="14" spans="1:11" ht="72" x14ac:dyDescent="0.3">
      <c r="A14" s="3" t="s">
        <v>72</v>
      </c>
      <c r="B14" s="3" t="s">
        <v>73</v>
      </c>
      <c r="C14" s="4" t="s">
        <v>68</v>
      </c>
      <c r="D14" s="3" t="s">
        <v>65</v>
      </c>
    </row>
    <row r="20" spans="1:5" ht="43.2" x14ac:dyDescent="0.3">
      <c r="D20" s="3" t="s">
        <v>63</v>
      </c>
      <c r="E20" t="s">
        <v>175</v>
      </c>
    </row>
    <row r="21" spans="1:5" x14ac:dyDescent="0.3">
      <c r="A2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11EE-FF5D-473C-BCDB-039889E88A5A}">
  <dimension ref="A1:I16"/>
  <sheetViews>
    <sheetView workbookViewId="0">
      <selection activeCell="C15" sqref="C15"/>
    </sheetView>
  </sheetViews>
  <sheetFormatPr defaultRowHeight="14.4" x14ac:dyDescent="0.3"/>
  <cols>
    <col min="8" max="8" width="11.5546875" customWidth="1"/>
  </cols>
  <sheetData>
    <row r="1" spans="1:9" ht="43.2" x14ac:dyDescent="0.3">
      <c r="A1" s="1" t="s">
        <v>74</v>
      </c>
      <c r="B1" s="1" t="s">
        <v>75</v>
      </c>
      <c r="C1" s="1" t="s">
        <v>76</v>
      </c>
      <c r="D1" s="2" t="s">
        <v>77</v>
      </c>
      <c r="E1" s="2" t="s">
        <v>48</v>
      </c>
      <c r="F1" s="2" t="s">
        <v>55</v>
      </c>
      <c r="G1" s="2" t="s">
        <v>78</v>
      </c>
      <c r="H1" s="2" t="s">
        <v>79</v>
      </c>
      <c r="I1" s="1" t="s">
        <v>80</v>
      </c>
    </row>
    <row r="2" spans="1:9" ht="43.2" x14ac:dyDescent="0.3">
      <c r="A2" s="3" t="s">
        <v>81</v>
      </c>
      <c r="B2" s="3" t="s">
        <v>82</v>
      </c>
      <c r="C2" s="3" t="s">
        <v>83</v>
      </c>
      <c r="D2" s="4">
        <v>12</v>
      </c>
      <c r="E2" s="4">
        <v>4</v>
      </c>
      <c r="F2" s="4">
        <v>9</v>
      </c>
      <c r="G2" s="4" t="s">
        <v>84</v>
      </c>
      <c r="H2" s="4">
        <v>0</v>
      </c>
      <c r="I2" s="3" t="s">
        <v>85</v>
      </c>
    </row>
    <row r="3" spans="1:9" ht="43.2" x14ac:dyDescent="0.3">
      <c r="A3" s="3" t="s">
        <v>86</v>
      </c>
      <c r="B3" s="3" t="s">
        <v>87</v>
      </c>
      <c r="C3" s="3" t="s">
        <v>83</v>
      </c>
      <c r="D3" s="4">
        <v>10</v>
      </c>
      <c r="E3" s="4">
        <v>3</v>
      </c>
      <c r="F3" s="4">
        <v>5</v>
      </c>
      <c r="G3" s="4" t="s">
        <v>84</v>
      </c>
      <c r="H3" s="4">
        <v>0</v>
      </c>
      <c r="I3" s="3" t="s">
        <v>88</v>
      </c>
    </row>
    <row r="4" spans="1:9" ht="57.6" x14ac:dyDescent="0.3">
      <c r="A4" s="3" t="s">
        <v>89</v>
      </c>
      <c r="B4" s="3" t="s">
        <v>90</v>
      </c>
      <c r="C4" s="3" t="s">
        <v>83</v>
      </c>
      <c r="D4" s="4">
        <v>18</v>
      </c>
      <c r="E4" s="4">
        <v>4</v>
      </c>
      <c r="F4" s="4">
        <v>8</v>
      </c>
      <c r="G4" s="4" t="s">
        <v>84</v>
      </c>
      <c r="H4" s="4">
        <v>0</v>
      </c>
      <c r="I4" s="3" t="s">
        <v>91</v>
      </c>
    </row>
    <row r="5" spans="1:9" ht="43.2" x14ac:dyDescent="0.3">
      <c r="A5" s="3" t="s">
        <v>92</v>
      </c>
      <c r="B5" s="3" t="s">
        <v>93</v>
      </c>
      <c r="C5" s="3" t="s">
        <v>94</v>
      </c>
      <c r="D5" s="4">
        <v>9</v>
      </c>
      <c r="E5" s="4">
        <v>2</v>
      </c>
      <c r="F5" s="4">
        <v>3</v>
      </c>
      <c r="G5" s="4" t="s">
        <v>84</v>
      </c>
      <c r="H5" s="4">
        <v>0</v>
      </c>
      <c r="I5" s="3" t="s">
        <v>95</v>
      </c>
    </row>
    <row r="6" spans="1:9" ht="28.8" x14ac:dyDescent="0.3">
      <c r="A6" s="3" t="s">
        <v>96</v>
      </c>
      <c r="B6" s="3" t="s">
        <v>97</v>
      </c>
      <c r="C6" s="3" t="s">
        <v>94</v>
      </c>
      <c r="D6" s="4">
        <v>8</v>
      </c>
      <c r="E6" s="4">
        <v>2</v>
      </c>
      <c r="F6" s="4">
        <v>2</v>
      </c>
      <c r="G6" s="4" t="s">
        <v>84</v>
      </c>
      <c r="H6" s="4">
        <v>1</v>
      </c>
      <c r="I6" s="3" t="s">
        <v>98</v>
      </c>
    </row>
    <row r="7" spans="1:9" ht="57.6" x14ac:dyDescent="0.3">
      <c r="A7" s="3" t="s">
        <v>99</v>
      </c>
      <c r="B7" s="3" t="s">
        <v>100</v>
      </c>
      <c r="C7" s="3" t="s">
        <v>94</v>
      </c>
      <c r="D7" s="4">
        <v>11</v>
      </c>
      <c r="E7" s="4">
        <v>2</v>
      </c>
      <c r="F7" s="4">
        <v>3</v>
      </c>
      <c r="G7" s="4" t="s">
        <v>84</v>
      </c>
      <c r="H7" s="4">
        <v>0</v>
      </c>
      <c r="I7" s="3" t="s">
        <v>101</v>
      </c>
    </row>
    <row r="8" spans="1:9" ht="28.8" x14ac:dyDescent="0.3">
      <c r="A8" s="3" t="s">
        <v>102</v>
      </c>
      <c r="B8" s="3" t="s">
        <v>103</v>
      </c>
      <c r="C8" s="3" t="s">
        <v>104</v>
      </c>
      <c r="D8" s="4">
        <v>7</v>
      </c>
      <c r="E8" s="4">
        <v>1</v>
      </c>
      <c r="F8" s="4">
        <v>2</v>
      </c>
      <c r="G8" s="4" t="s">
        <v>84</v>
      </c>
      <c r="H8" s="4">
        <v>0</v>
      </c>
      <c r="I8" s="3" t="s">
        <v>105</v>
      </c>
    </row>
    <row r="9" spans="1:9" ht="43.2" x14ac:dyDescent="0.3">
      <c r="A9" s="3" t="s">
        <v>106</v>
      </c>
      <c r="B9" s="3" t="s">
        <v>107</v>
      </c>
      <c r="C9" s="3" t="s">
        <v>83</v>
      </c>
      <c r="D9" s="4">
        <v>14</v>
      </c>
      <c r="E9" s="4">
        <v>1</v>
      </c>
      <c r="F9" s="4">
        <v>2</v>
      </c>
      <c r="G9" s="4" t="s">
        <v>84</v>
      </c>
      <c r="H9" s="4">
        <v>0</v>
      </c>
      <c r="I9" s="3" t="s">
        <v>108</v>
      </c>
    </row>
    <row r="10" spans="1:9" ht="28.8" x14ac:dyDescent="0.3">
      <c r="A10" s="3" t="s">
        <v>109</v>
      </c>
      <c r="B10" s="3" t="s">
        <v>110</v>
      </c>
      <c r="C10" s="3" t="s">
        <v>104</v>
      </c>
      <c r="D10" s="4">
        <v>6</v>
      </c>
      <c r="E10" s="4">
        <v>1</v>
      </c>
      <c r="F10" s="4">
        <v>1</v>
      </c>
      <c r="G10" s="4" t="s">
        <v>84</v>
      </c>
      <c r="H10" s="4">
        <v>0</v>
      </c>
      <c r="I10" s="3" t="s">
        <v>105</v>
      </c>
    </row>
    <row r="16" spans="1:9" x14ac:dyDescent="0.3">
      <c r="A16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8798-8A6C-44FB-82B1-AE62DE74E4CF}">
  <dimension ref="A1:I14"/>
  <sheetViews>
    <sheetView topLeftCell="B1" workbookViewId="0">
      <selection activeCell="C14" sqref="C14"/>
    </sheetView>
  </sheetViews>
  <sheetFormatPr defaultRowHeight="14.4" x14ac:dyDescent="0.3"/>
  <cols>
    <col min="4" max="4" width="10.77734375" customWidth="1"/>
    <col min="8" max="8" width="11.5546875" customWidth="1"/>
  </cols>
  <sheetData>
    <row r="1" spans="1:9" ht="43.2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2" t="s">
        <v>115</v>
      </c>
      <c r="F1" s="2" t="s">
        <v>48</v>
      </c>
      <c r="G1" s="2" t="s">
        <v>57</v>
      </c>
      <c r="H1" s="2" t="s">
        <v>116</v>
      </c>
      <c r="I1" s="1" t="s">
        <v>80</v>
      </c>
    </row>
    <row r="2" spans="1:9" ht="43.2" x14ac:dyDescent="0.3">
      <c r="A2" s="3" t="s">
        <v>117</v>
      </c>
      <c r="B2" s="3" t="s">
        <v>118</v>
      </c>
      <c r="C2" s="3" t="s">
        <v>119</v>
      </c>
      <c r="D2" s="3" t="s">
        <v>120</v>
      </c>
      <c r="E2" s="4">
        <v>20</v>
      </c>
      <c r="F2" s="4">
        <v>4</v>
      </c>
      <c r="G2" s="4">
        <v>9</v>
      </c>
      <c r="H2" s="4" t="s">
        <v>84</v>
      </c>
      <c r="I2" s="3" t="s">
        <v>121</v>
      </c>
    </row>
    <row r="3" spans="1:9" ht="43.2" x14ac:dyDescent="0.3">
      <c r="A3" s="3" t="s">
        <v>122</v>
      </c>
      <c r="B3" s="3" t="s">
        <v>123</v>
      </c>
      <c r="C3" s="3" t="s">
        <v>119</v>
      </c>
      <c r="D3" s="3" t="s">
        <v>124</v>
      </c>
      <c r="E3" s="4">
        <v>20</v>
      </c>
      <c r="F3" s="4">
        <v>3</v>
      </c>
      <c r="G3" s="4">
        <v>5</v>
      </c>
      <c r="H3" s="4" t="s">
        <v>84</v>
      </c>
      <c r="I3" s="3" t="s">
        <v>121</v>
      </c>
    </row>
    <row r="4" spans="1:9" ht="43.2" x14ac:dyDescent="0.3">
      <c r="A4" s="3" t="s">
        <v>125</v>
      </c>
      <c r="B4" s="3" t="s">
        <v>126</v>
      </c>
      <c r="C4" s="3" t="s">
        <v>127</v>
      </c>
      <c r="D4" s="3" t="s">
        <v>120</v>
      </c>
      <c r="E4" s="4">
        <v>40</v>
      </c>
      <c r="F4" s="4">
        <v>4</v>
      </c>
      <c r="G4" s="4">
        <v>8</v>
      </c>
      <c r="H4" s="4" t="s">
        <v>84</v>
      </c>
      <c r="I4" s="3" t="s">
        <v>121</v>
      </c>
    </row>
    <row r="5" spans="1:9" ht="43.2" x14ac:dyDescent="0.3">
      <c r="A5" s="3" t="s">
        <v>128</v>
      </c>
      <c r="B5" s="3" t="s">
        <v>129</v>
      </c>
      <c r="C5" s="3" t="s">
        <v>127</v>
      </c>
      <c r="D5" s="3" t="s">
        <v>124</v>
      </c>
      <c r="E5" s="4">
        <v>40</v>
      </c>
      <c r="F5" s="4">
        <v>2</v>
      </c>
      <c r="G5" s="4">
        <v>5</v>
      </c>
      <c r="H5" s="4" t="s">
        <v>84</v>
      </c>
      <c r="I5" s="3" t="s">
        <v>121</v>
      </c>
    </row>
    <row r="6" spans="1:9" ht="57.6" x14ac:dyDescent="0.3">
      <c r="A6" s="3" t="s">
        <v>130</v>
      </c>
      <c r="B6" s="3" t="s">
        <v>131</v>
      </c>
      <c r="C6" s="3" t="s">
        <v>119</v>
      </c>
      <c r="D6" s="3" t="s">
        <v>132</v>
      </c>
      <c r="E6" s="4">
        <v>25</v>
      </c>
      <c r="F6" s="4">
        <v>4</v>
      </c>
      <c r="G6" s="4">
        <v>7</v>
      </c>
      <c r="H6" s="4" t="s">
        <v>84</v>
      </c>
      <c r="I6" s="3" t="s">
        <v>101</v>
      </c>
    </row>
    <row r="7" spans="1:9" ht="43.2" x14ac:dyDescent="0.3">
      <c r="A7" s="3" t="s">
        <v>133</v>
      </c>
      <c r="B7" s="3" t="s">
        <v>134</v>
      </c>
      <c r="C7" s="3" t="s">
        <v>119</v>
      </c>
      <c r="D7" s="3" t="s">
        <v>132</v>
      </c>
      <c r="E7" s="4">
        <v>25</v>
      </c>
      <c r="F7" s="4">
        <v>2</v>
      </c>
      <c r="G7" s="4">
        <v>2</v>
      </c>
      <c r="H7" s="4" t="s">
        <v>84</v>
      </c>
      <c r="I7" s="3" t="s">
        <v>121</v>
      </c>
    </row>
    <row r="14" spans="1:9" ht="28.8" x14ac:dyDescent="0.3">
      <c r="B14" s="2" t="s">
        <v>116</v>
      </c>
      <c r="C14">
        <f>G2/(E2*F2)*100</f>
        <v>11.25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50B3-A65E-41B5-AE75-9C73D9A43F41}">
  <dimension ref="A1:F8"/>
  <sheetViews>
    <sheetView workbookViewId="0">
      <selection activeCell="J3" sqref="J3"/>
    </sheetView>
  </sheetViews>
  <sheetFormatPr defaultRowHeight="14.4" x14ac:dyDescent="0.3"/>
  <cols>
    <col min="3" max="3" width="13.21875" customWidth="1"/>
    <col min="4" max="4" width="13.88671875" customWidth="1"/>
  </cols>
  <sheetData>
    <row r="1" spans="1:6" ht="28.8" x14ac:dyDescent="0.3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</row>
    <row r="2" spans="1:6" ht="72" x14ac:dyDescent="0.3">
      <c r="A2" s="3" t="s">
        <v>141</v>
      </c>
      <c r="B2" s="3" t="s">
        <v>142</v>
      </c>
      <c r="C2" s="3" t="s">
        <v>143</v>
      </c>
      <c r="D2" s="3" t="s">
        <v>144</v>
      </c>
      <c r="E2" s="3" t="s">
        <v>145</v>
      </c>
      <c r="F2" s="3" t="s">
        <v>83</v>
      </c>
    </row>
    <row r="3" spans="1:6" ht="57.6" x14ac:dyDescent="0.3">
      <c r="A3" s="3" t="s">
        <v>146</v>
      </c>
      <c r="B3" s="3" t="s">
        <v>147</v>
      </c>
      <c r="C3" s="3" t="s">
        <v>148</v>
      </c>
      <c r="D3" s="3" t="s">
        <v>149</v>
      </c>
      <c r="E3" s="3" t="s">
        <v>150</v>
      </c>
      <c r="F3" s="3" t="s">
        <v>83</v>
      </c>
    </row>
    <row r="4" spans="1:6" ht="86.4" x14ac:dyDescent="0.3">
      <c r="A4" s="3" t="s">
        <v>151</v>
      </c>
      <c r="B4" s="3" t="s">
        <v>115</v>
      </c>
      <c r="C4" s="3" t="s">
        <v>152</v>
      </c>
      <c r="D4" s="3" t="s">
        <v>153</v>
      </c>
      <c r="E4" s="3" t="s">
        <v>154</v>
      </c>
      <c r="F4" s="3" t="s">
        <v>83</v>
      </c>
    </row>
    <row r="5" spans="1:6" ht="72" x14ac:dyDescent="0.3">
      <c r="A5" s="3" t="s">
        <v>155</v>
      </c>
      <c r="B5" s="3" t="s">
        <v>79</v>
      </c>
      <c r="C5" s="3" t="s">
        <v>156</v>
      </c>
      <c r="D5" s="3" t="s">
        <v>157</v>
      </c>
      <c r="E5" s="3" t="s">
        <v>158</v>
      </c>
      <c r="F5" s="3" t="s">
        <v>83</v>
      </c>
    </row>
    <row r="6" spans="1:6" ht="86.4" x14ac:dyDescent="0.3">
      <c r="A6" s="3" t="s">
        <v>159</v>
      </c>
      <c r="B6" s="3" t="s">
        <v>160</v>
      </c>
      <c r="C6" s="3" t="s">
        <v>161</v>
      </c>
      <c r="D6" s="3" t="s">
        <v>162</v>
      </c>
      <c r="E6" s="3" t="s">
        <v>163</v>
      </c>
      <c r="F6" s="3" t="s">
        <v>94</v>
      </c>
    </row>
    <row r="7" spans="1:6" ht="86.4" x14ac:dyDescent="0.3">
      <c r="A7" s="3" t="s">
        <v>164</v>
      </c>
      <c r="B7" s="3" t="s">
        <v>165</v>
      </c>
      <c r="C7" s="3" t="s">
        <v>166</v>
      </c>
      <c r="D7" s="3" t="s">
        <v>167</v>
      </c>
      <c r="E7" s="3" t="s">
        <v>168</v>
      </c>
      <c r="F7" s="3" t="s">
        <v>94</v>
      </c>
    </row>
    <row r="8" spans="1:6" ht="72" x14ac:dyDescent="0.3">
      <c r="A8" s="3" t="s">
        <v>169</v>
      </c>
      <c r="B8" s="3" t="s">
        <v>170</v>
      </c>
      <c r="C8" s="3" t="s">
        <v>171</v>
      </c>
      <c r="D8" s="3" t="s">
        <v>172</v>
      </c>
      <c r="E8" s="3" t="s">
        <v>173</v>
      </c>
      <c r="F8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Data_Validation</vt:lpstr>
      <vt:lpstr>KPI_Analysis</vt:lpstr>
      <vt:lpstr>Route_Analysis</vt:lpstr>
      <vt:lpstr>Vehicle_Analysis</vt:lpstr>
      <vt:lpstr>Business_Findings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kanhaiya kk</dc:creator>
  <cp:lastModifiedBy>kanhaiya kk</cp:lastModifiedBy>
  <dcterms:created xsi:type="dcterms:W3CDTF">2026-09-02T15:36:16Z</dcterms:created>
  <dcterms:modified xsi:type="dcterms:W3CDTF">2026-09-02T16:12:06Z</dcterms:modified>
</cp:coreProperties>
</file>